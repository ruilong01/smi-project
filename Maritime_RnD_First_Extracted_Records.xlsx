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4e4b714b8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7935759a21e4cab"/>
    <x:sheet xmlns:r="http://schemas.openxmlformats.org/officeDocument/2006/relationships" name="Extracted Records" sheetId="2" r:id="R85c4ee4b15434cfc"/>
    <x:sheet xmlns:r="http://schemas.openxmlformats.org/officeDocument/2006/relationships" name="Summary" sheetId="3" r:id="R007991f2c9244505"/>
    <x:sheet xmlns:r="http://schemas.openxmlformats.org/officeDocument/2006/relationships" name="Schema Notes" sheetId="4" r:id="R260a7f821520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D9E8EF"/>
      <x:name val="Carlito"/>
    </x:font>
    <x:font>
      <x:b/>
      <x:sz val="11"/>
      <x:color rgb="FF031A2F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0"/>
      <x:color rgb="FFD9E8EF"/>
      <x:name val="Aptos"/>
    </x:font>
    <x:font>
      <x:b/>
      <x:sz val="11"/>
      <x:color rgb="FF031A2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6233F"/>
      </x:patternFill>
    </x:fill>
    <x:fill>
      <x:patternFill patternType="solid">
        <x:fgColor rgb="FF031A2F"/>
      </x:patternFill>
    </x:fill>
    <x:fill>
      <x:patternFill patternType="solid">
        <x:fgColor rgb="FF00AEE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f40a92d104b4b" /><Relationship Type="http://schemas.openxmlformats.org/officeDocument/2006/relationships/theme" Target="/xl/theme/theme1.xml" Id="R4717bbe2bc204263" /><Relationship Type="http://schemas.openxmlformats.org/officeDocument/2006/relationships/sharedStrings" Target="/xl/sharedStrings.xml" Id="Rfe0bff6e00ab4749" /><Relationship Type="http://schemas.openxmlformats.org/officeDocument/2006/relationships/worksheet" Target="/xl/worksheets/sheet1.xml" Id="Rb7935759a21e4cab" /><Relationship Type="http://schemas.openxmlformats.org/officeDocument/2006/relationships/worksheet" Target="/xl/worksheets/sheet2.xml" Id="R85c4ee4b15434cfc" /><Relationship Type="http://schemas.openxmlformats.org/officeDocument/2006/relationships/worksheet" Target="/xl/worksheets/sheet3.xml" Id="R007991f2c9244505" /><Relationship Type="http://schemas.openxmlformats.org/officeDocument/2006/relationships/worksheet" Target="/xl/worksheets/sheet4.xml" Id="R260a7f82152046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ebf2bbe7bc44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Primary Topic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 Count</c:v>
          </c:tx>
          <c:cat>
            <c:strRef>
              <c:f>'Summary'!$A$14:$A$22</c:f>
              <c:strCache>
                <c:ptCount val="0"/>
              </c:strCache>
            </c:strRef>
          </c:cat>
          <c:val>
            <c:numRef>
              <c:f>'Summary'!$B$14:$B$22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ebf2bbe7bc44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tractedRecordsTable" displayName="ExtractedRecordsTable" ref="A1:V26" headerRowCount="1">
  <x:tableColumns count="22">
    <x:tableColumn id="1" name="record_id"/>
    <x:tableColumn id="2" name="source_database"/>
    <x:tableColumn id="3" name="project_id"/>
    <x:tableColumn id="4" name="acronym"/>
    <x:tableColumn id="5" name="title"/>
    <x:tableColumn id="6" name="source_url"/>
    <x:tableColumn id="7" name="source_type"/>
    <x:tableColumn id="8" name="topic_primary"/>
    <x:tableColumn id="9" name="topic_secondary"/>
    <x:tableColumn id="10" name="technology_keywords"/>
    <x:tableColumn id="11" name="country_or_region"/>
    <x:tableColumn id="12" name="coordinator"/>
    <x:tableColumn id="13" name="summary"/>
    <x:tableColumn id="14" name="why_useful"/>
    <x:tableColumn id="15" name="evidence_snippet"/>
    <x:tableColumn id="16" name="recency_category"/>
    <x:tableColumn id="17" name="actionability_score"/>
    <x:tableColumn id="18" name="relevance_score"/>
    <x:tableColumn id="19" name="source_quality"/>
    <x:tableColumn id="20" name="follow_up_status"/>
    <x:tableColumn id="21" name="data_status"/>
    <x:tableColumn id="22" name="extrac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8ffefb62d84c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93076fe310b488e" /></Relationships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33" t="str">
        <x:v>Maritime R&amp;D Direct Extraction — First Batch</x:v>
      </x:c>
      <x:c r="B1" s="33"/>
      <x:c r="C1" s="33"/>
      <x:c r="D1" s="33"/>
      <x:c r="E1" s="33"/>
      <x:c r="F1" s="33"/>
      <x:c r="G1" s="33"/>
      <x:c r="H1" s="33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32" customHeight="1">
      <x:c r="A2" s="35" t="str">
        <x:v>First usable dataset extracted now from CORDIS/Horizon maritime R&amp;D project records. This is a seed dataset, not a complete global dataset.</x:v>
      </x:c>
      <x:c r="B2" s="35"/>
      <x:c r="C2" s="35"/>
      <x:c r="D2" s="35"/>
      <x:c r="E2" s="35"/>
      <x:c r="F2" s="35"/>
      <x:c r="G2" s="35"/>
      <x:c r="H2" s="35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6" t="str">
        <x:v>Item</x:v>
      </x:c>
      <x:c r="B4" s="36" t="str">
        <x:v>Value</x:v>
      </x:c>
      <x:c r="C4" s="36" t="str">
        <x:v>Notes</x:v>
      </x:c>
      <x:c r="D4" s="36" t="str"/>
      <x:c r="E4" s="36" t="str"/>
      <x:c r="F4" s="36" t="str"/>
      <x:c r="G4" s="36" t="str"/>
      <x:c r="H4" s="36" t="str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7" t="str">
        <x:v>Extracted at</x:v>
      </x:c>
      <x:c r="B5" s="37" t="n">
        <x:v>46223.35761105324</x:v>
      </x:c>
      <x:c r="C5" s="37" t="str">
        <x:v>UTC timestamp</x:v>
      </x:c>
      <x:c r="D5" s="37" t="str"/>
      <x:c r="E5" s="37" t="str"/>
      <x:c r="F5" s="37" t="str"/>
      <x:c r="G5" s="37" t="str"/>
      <x:c r="H5" s="37" t="str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7" t="str">
        <x:v>Record count</x:v>
      </x:c>
      <x:c r="B6" s="37" t="n">
        <x:v>25</x:v>
      </x:c>
      <x:c r="C6" s="37" t="str">
        <x:v>CORDIS/Horizon maritime R&amp;D project records</x:v>
      </x:c>
      <x:c r="D6" s="37" t="str"/>
      <x:c r="E6" s="37" t="str"/>
      <x:c r="F6" s="37" t="str"/>
      <x:c r="G6" s="37" t="str"/>
      <x:c r="H6" s="37" t="str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7" t="str">
        <x:v>Date strategy</x:v>
      </x:c>
      <x:c r="B7" s="37" t="str">
        <x:v>Keep 2015-present; default display 2020-present</x:v>
      </x:c>
      <x:c r="C7" s="37" t="str">
        <x:v>This batch is project-based and mostly active/recent Horizon records.</x:v>
      </x:c>
      <x:c r="D7" s="37" t="str"/>
      <x:c r="E7" s="37" t="str"/>
      <x:c r="F7" s="37" t="str"/>
      <x:c r="G7" s="37" t="str"/>
      <x:c r="H7" s="37" t="str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7" t="str">
        <x:v>Use in app</x:v>
      </x:c>
      <x:c r="B8" s="37" t="str">
        <x:v>Seed research-records file</x:v>
      </x:c>
      <x:c r="C8" s="37" t="str">
        <x:v>Can be imported into the app after mapping to frontend schema.</x:v>
      </x:c>
      <x:c r="D8" s="37" t="str"/>
      <x:c r="E8" s="37" t="str"/>
      <x:c r="F8" s="37" t="str"/>
      <x:c r="G8" s="37" t="str"/>
      <x:c r="H8" s="37" t="str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7" t="str">
        <x:v>Main limitation</x:v>
      </x:c>
      <x:c r="B9" s="37" t="str">
        <x:v>EU-heavy dataset</x:v>
      </x:c>
      <x:c r="C9" s="37" t="str">
        <x:v>This batch is good for proof and project-style records, but not yet global.</x:v>
      </x:c>
      <x:c r="D9" s="37" t="str"/>
      <x:c r="E9" s="37" t="str"/>
      <x:c r="F9" s="37" t="str"/>
      <x:c r="G9" s="37" t="str"/>
      <x:c r="H9" s="37" t="str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7" t="str">
        <x:v>No-data meaning</x:v>
      </x:c>
      <x:c r="B10" s="37" t="str">
        <x:v>Coverage pending</x:v>
      </x:c>
      <x:c r="C10" s="37" t="str">
        <x:v>Never interpret missing country data as no research.</x:v>
      </x:c>
      <x:c r="D10" s="37" t="str"/>
      <x:c r="E10" s="37" t="str"/>
      <x:c r="F10" s="37" t="str"/>
      <x:c r="G10" s="37" t="str"/>
      <x:c r="H10" s="37" t="str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7" t="str">
        <x:v>Next step</x:v>
      </x:c>
      <x:c r="B11" s="37" t="str">
        <x:v>Write script to ingest this JSON/CSV</x:v>
      </x:c>
      <x:c r="C11" s="37" t="str">
        <x:v>Then scale with OpenAlex/Crossref/DataCite/CORDIS APIs.</x:v>
      </x:c>
      <x:c r="D11" s="37" t="str"/>
      <x:c r="E11" s="37" t="str"/>
      <x:c r="F11" s="37" t="str"/>
      <x:c r="G11" s="37" t="str"/>
      <x:c r="H11" s="37" t="str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6" hidden="0" customWidth="1"/>
    <x:col min="4" max="4" width="16" hidden="0" customWidth="1"/>
    <x:col min="5" max="5" width="46" hidden="0" customWidth="1"/>
    <x:col min="6" max="6" width="56" hidden="0" customWidth="1"/>
    <x:col min="7" max="7" width="20" hidden="0" customWidth="1"/>
    <x:col min="8" max="8" width="20" hidden="0" customWidth="1"/>
    <x:col min="9" max="9" width="24" hidden="0" customWidth="1"/>
    <x:col min="10" max="10" width="28" hidden="0" customWidth="1"/>
    <x:col min="11" max="11" width="30" hidden="0" customWidth="1"/>
    <x:col min="12" max="12" width="28" hidden="0" customWidth="1"/>
    <x:col min="13" max="13" width="40" hidden="0" customWidth="1"/>
    <x:col min="14" max="14" width="42" hidden="0" customWidth="1"/>
    <x:col min="15" max="15" width="42" hidden="0" customWidth="1"/>
    <x:col min="16" max="16" width="42" hidden="0" customWidth="1"/>
    <x:col min="17" max="17" width="18" hidden="0" customWidth="1"/>
    <x:col min="18" max="18" width="18" hidden="0" customWidth="1"/>
    <x:col min="19" max="19" width="18" hidden="0" customWidth="1"/>
    <x:col min="20" max="20" width="22" hidden="0" customWidth="1"/>
    <x:col min="21" max="21" width="26" hidden="0" customWidth="1"/>
    <x:col min="22" max="22" width="26" hidden="0" customWidth="1"/>
    <x:col min="23" max="23" width="26" hidden="0" customWidth="1"/>
  </x:cols>
  <x:sheetData>
    <x:row r="1">
      <x:c r="A1" s="36" t="str">
        <x:v>record_id</x:v>
      </x:c>
      <x:c r="B1" s="36" t="str">
        <x:v>source_database</x:v>
      </x:c>
      <x:c r="C1" s="36" t="str">
        <x:v>project_id</x:v>
      </x:c>
      <x:c r="D1" s="36" t="str">
        <x:v>acronym</x:v>
      </x:c>
      <x:c r="E1" s="36" t="str">
        <x:v>title</x:v>
      </x:c>
      <x:c r="F1" s="36" t="str">
        <x:v>source_url</x:v>
      </x:c>
      <x:c r="G1" s="36" t="str">
        <x:v>source_type</x:v>
      </x:c>
      <x:c r="H1" s="36" t="str">
        <x:v>topic_primary</x:v>
      </x:c>
      <x:c r="I1" s="36" t="str">
        <x:v>topic_secondary</x:v>
      </x:c>
      <x:c r="J1" s="36" t="str">
        <x:v>technology_keywords</x:v>
      </x:c>
      <x:c r="K1" s="36" t="str">
        <x:v>country_or_region</x:v>
      </x:c>
      <x:c r="L1" s="36" t="str">
        <x:v>coordinator</x:v>
      </x:c>
      <x:c r="M1" s="36" t="str">
        <x:v>summary</x:v>
      </x:c>
      <x:c r="N1" s="36" t="str">
        <x:v>why_useful</x:v>
      </x:c>
      <x:c r="O1" s="36" t="str">
        <x:v>evidence_snippet</x:v>
      </x:c>
      <x:c r="P1" s="36" t="str">
        <x:v>recency_category</x:v>
      </x:c>
      <x:c r="Q1" s="36" t="str">
        <x:v>actionability_score</x:v>
      </x:c>
      <x:c r="R1" s="36" t="str">
        <x:v>relevance_score</x:v>
      </x:c>
      <x:c r="S1" s="36" t="str">
        <x:v>source_quality</x:v>
      </x:c>
      <x:c r="T1" s="36" t="str">
        <x:v>follow_up_status</x:v>
      </x:c>
      <x:c r="U1" s="36" t="str">
        <x:v>data_status</x:v>
      </x:c>
      <x:c r="V1" s="36" t="str">
        <x:v>extracted_at</x:v>
      </x:c>
      <x:c r="W1" s="34"/>
      <x:c r="X1" s="34"/>
      <x:c r="Y1" s="34"/>
      <x:c r="Z1" s="34"/>
    </x:row>
    <x:row r="2">
      <x:c r="A2" s="37" t="str">
        <x:v>cordis-101138620</x:v>
      </x:c>
      <x:c r="B2" s="37" t="str">
        <x:v>CORDIS</x:v>
      </x:c>
      <x:c r="C2" s="37" t="str">
        <x:v>101138620</x:v>
      </x:c>
      <x:c r="D2" s="37" t="str">
        <x:v>GAMMA</x:v>
      </x:c>
      <x:c r="E2" s="37" t="str">
        <x:v>Green Ammonia and Biomethanol fuel MAritime Vessels</x:v>
      </x:c>
      <x:c r="F2" s="37" t="str">
        <x:v>https://cordis.europa.eu/project/id/101138620</x:v>
      </x:c>
      <x:c r="G2" s="37" t="str">
        <x:v>EU Horizon project</x:v>
      </x:c>
      <x:c r="H2" s="37" t="str">
        <x:v>Alternative Fuels</x:v>
      </x:c>
      <x:c r="I2" s="37" t="str">
        <x:v>Green Shipping</x:v>
      </x:c>
      <x:c r="J2" s="37" t="str">
        <x:v>green ammonia; biomethanol; PEM fuel cell; vessel retrofit; sustainable fuel value chain</x:v>
      </x:c>
      <x:c r="K2" s="37" t="str">
        <x:v>EU / Iceland coordinator; multi-country consortium</x:v>
      </x:c>
      <x:c r="L2" s="37" t="str">
        <x:v>VERKIS HF</x:v>
      </x:c>
      <x:c r="M2" s="37" t="str">
        <x:v>GAMMA aims to retrofit an Ultramax bulk carrier and demonstrate safe integration of biomethanol, ammonia and fuel-cell related systems for emission reduction in commercial vessels.</x:v>
      </x:c>
      <x:c r="N2" s="37" t="str">
        <x:v>Strong project-level record with vessel retrofit, demonstration, alternative fuels and fuel value-chain testing.</x:v>
      </x:c>
      <x:c r="O2" s="37" t="str">
        <x:v>The project goal is retrofitting an Ultramax bulk carrier for international routes and testing biomethanol/NH3 fuel systems.</x:v>
      </x:c>
      <x:c r="P2" s="37" t="str">
        <x:v>active_default</x:v>
      </x:c>
      <x:c r="Q2" s="37" t="n">
        <x:v>95</x:v>
      </x:c>
      <x:c r="R2" s="37" t="n">
        <x:v>98</x:v>
      </x:c>
      <x:c r="S2" s="37" t="str">
        <x:v>official_project_page</x:v>
      </x:c>
      <x:c r="T2" s="37" t="str">
        <x:v>has_pilot_or_demo_signal</x:v>
      </x:c>
      <x:c r="U2" s="37" t="str">
        <x:v>extracted_from_official_source</x:v>
      </x:c>
      <x:c r="V2" s="37" t="n">
        <x:v>46223.35761105324</x:v>
      </x:c>
      <x:c r="W2" s="34"/>
      <x:c r="X2" s="34"/>
      <x:c r="Y2" s="34"/>
      <x:c r="Z2" s="34"/>
    </x:row>
    <x:row r="3">
      <x:c r="A3" s="37" t="str">
        <x:v>cordis-101138478</x:v>
      </x:c>
      <x:c r="B3" s="37" t="str">
        <x:v>CORDIS</x:v>
      </x:c>
      <x:c r="C3" s="37" t="str">
        <x:v>101138478</x:v>
      </x:c>
      <x:c r="D3" s="37" t="str">
        <x:v>DYNAPORT</x:v>
      </x:c>
      <x:c r="E3" s="37" t="str">
        <x:v>Dynamic navigation and port call optimisation in real time</x:v>
      </x:c>
      <x:c r="F3" s="37" t="str">
        <x:v>https://cordis.europa.eu/project/id/101138478</x:v>
      </x:c>
      <x:c r="G3" s="37" t="str">
        <x:v>EU Horizon project</x:v>
      </x:c>
      <x:c r="H3" s="37" t="str">
        <x:v>Smart Ports</x:v>
      </x:c>
      <x:c r="I3" s="37" t="str">
        <x:v>Green Shipping</x:v>
      </x:c>
      <x:c r="J3" s="37" t="str">
        <x:v>port call optimisation; voyage optimisation; just-in-time arrival; VTS integration; fuel reduction</x:v>
      </x:c>
      <x:c r="K3" s="37" t="str">
        <x:v>EU / Norway coordinator</x:v>
      </x:c>
      <x:c r="L3" s="37" t="str">
        <x:v>SINTEF OCEAN AS</x:v>
      </x:c>
      <x:c r="M3" s="37" t="str">
        <x:v>DYNAPORT develops optimisation and coordination tools for ports and ships to reduce fuel consumption and improve port efficiency by at least 10%.</x:v>
      </x:c>
      <x:c r="N3" s="37" t="str">
        <x:v>Directly aligned with smart ports, emissions reduction and operational optimisation.</x:v>
      </x:c>
      <x:c r="O3" s="37" t="str">
        <x:v>The project aims to reduce fuel consumption and enhance port efficiency by at least 10%.</x:v>
      </x:c>
      <x:c r="P3" s="37" t="str">
        <x:v>active_default</x:v>
      </x:c>
      <x:c r="Q3" s="37" t="n">
        <x:v>94</x:v>
      </x:c>
      <x:c r="R3" s="37" t="n">
        <x:v>97</x:v>
      </x:c>
      <x:c r="S3" s="37" t="str">
        <x:v>official_project_page</x:v>
      </x:c>
      <x:c r="T3" s="37" t="str">
        <x:v>has_pilot_or_demo_signal</x:v>
      </x:c>
      <x:c r="U3" s="37" t="str">
        <x:v>extracted_from_official_source</x:v>
      </x:c>
      <x:c r="V3" s="37" t="n">
        <x:v>46223.35761105324</x:v>
      </x:c>
      <x:c r="W3" s="34"/>
      <x:c r="X3" s="34"/>
      <x:c r="Y3" s="34"/>
      <x:c r="Z3" s="34"/>
    </x:row>
    <x:row r="4">
      <x:c r="A4" s="37" t="str">
        <x:v>cordis-101192583</x:v>
      </x:c>
      <x:c r="B4" s="37" t="str">
        <x:v>CORDIS</x:v>
      </x:c>
      <x:c r="C4" s="37" t="str">
        <x:v>101192583</x:v>
      </x:c>
      <x:c r="D4" s="37" t="str">
        <x:v>TwinShip</x:v>
      </x:c>
      <x:c r="E4" s="37" t="str">
        <x:v>Integrated Digital Twin Framework to Enable Green Ship Operations Towards Zero Emission Vessels</x:v>
      </x:c>
      <x:c r="F4" s="37" t="str">
        <x:v>https://cordis.europa.eu/project/id/101192583</x:v>
      </x:c>
      <x:c r="G4" s="37" t="str">
        <x:v>EU Horizon project</x:v>
      </x:c>
      <x:c r="H4" s="37" t="str">
        <x:v>Green Shipping</x:v>
      </x:c>
      <x:c r="I4" s="37" t="str">
        <x:v>Maritime AI / Digital Twin</x:v>
      </x:c>
      <x:c r="J4" s="37" t="str">
        <x:v>digital twin; decision support system; machine learning; AI; emission reduction; zero-emission vessels</x:v>
      </x:c>
      <x:c r="K4" s="37" t="str">
        <x:v>EU / multi-country consortium</x:v>
      </x:c>
      <x:c r="L4" s="37" t="str"/>
      <x:c r="M4" s="37" t="str">
        <x:v>TwinShip develops an open-source digital platform and digital-twin enabled decision support system for green ship operations and emission reduction.</x:v>
      </x:c>
      <x:c r="N4" s="37" t="str">
        <x:v>Combines digital twin, AI/ML, clean fuels and green ship operations; suitable for country and technology-area panels.</x:v>
      </x:c>
      <x:c r="O4" s="37" t="str">
        <x:v>The platform is powered by domain knowledge-based machine learning and AI capabilities and targets major GHG reductions.</x:v>
      </x:c>
      <x:c r="P4" s="37" t="str">
        <x:v>active_default</x:v>
      </x:c>
      <x:c r="Q4" s="37" t="n">
        <x:v>92</x:v>
      </x:c>
      <x:c r="R4" s="37" t="n">
        <x:v>96</x:v>
      </x:c>
      <x:c r="S4" s="37" t="str">
        <x:v>official_project_page</x:v>
      </x:c>
      <x:c r="T4" s="37" t="str">
        <x:v>has_pilot_or_demo_signal</x:v>
      </x:c>
      <x:c r="U4" s="37" t="str">
        <x:v>extracted_from_official_source</x:v>
      </x:c>
      <x:c r="V4" s="37" t="n">
        <x:v>46223.35761105324</x:v>
      </x:c>
      <x:c r="W4" s="34"/>
      <x:c r="X4" s="34"/>
      <x:c r="Y4" s="34"/>
      <x:c r="Z4" s="34"/>
    </x:row>
    <x:row r="5">
      <x:c r="A5" s="37" t="str">
        <x:v>cordis-101138411</x:v>
      </x:c>
      <x:c r="B5" s="37" t="str">
        <x:v>CORDIS</x:v>
      </x:c>
      <x:c r="C5" s="37" t="str">
        <x:v>101138411</x:v>
      </x:c>
      <x:c r="D5" s="37" t="str">
        <x:v>SAFeCRAFT</x:v>
      </x:c>
      <x:c r="E5" s="37" t="str">
        <x:v>Safe and Efficient Use of Sustainable Fuels in Maritime Transport Applications</x:v>
      </x:c>
      <x:c r="F5" s="37" t="str">
        <x:v>https://cordis.europa.eu/project/id/101138411</x:v>
      </x:c>
      <x:c r="G5" s="37" t="str">
        <x:v>EU Horizon project</x:v>
      </x:c>
      <x:c r="H5" s="37" t="str">
        <x:v>Alternative Fuels</x:v>
      </x:c>
      <x:c r="I5" s="37" t="str">
        <x:v>Green Shipping</x:v>
      </x:c>
      <x:c r="J5" s="37" t="str">
        <x:v>hydrogen; ammonia; LOHC; fuel cells; powertrain; retrofit; approval in principle</x:v>
      </x:c>
      <x:c r="K5" s="37" t="str">
        <x:v>EU / Greece coordinator; 11 partners from 6 countries</x:v>
      </x:c>
      <x:c r="L5" s="37" t="str">
        <x:v>HYDRUS ANOTATI SYNEKTIKI MICHANIKI ETAIREIA SYMVOULON ANONYMI ETAIREIA</x:v>
      </x:c>
      <x:c r="M5" s="37" t="str">
        <x:v>SAFeCRAFT demonstrates sustainable alternative fuel technologies, including hydrogen, ammonia and LOHC-based options, for waterborne transport applications.</x:v>
      </x:c>
      <x:c r="N5" s="37" t="str">
        <x:v>Very strong practical R&amp;D record with demo vessel, safety assessment, energy efficiency and techno-economic feasibility.</x:v>
      </x:c>
      <x:c r="O5" s="37" t="str">
        <x:v>The project demonstrates four SAF-enabling technologies while utilising H2 on a demonstration vessel.</x:v>
      </x:c>
      <x:c r="P5" s="37" t="str">
        <x:v>active_default</x:v>
      </x:c>
      <x:c r="Q5" s="37" t="n">
        <x:v>95</x:v>
      </x:c>
      <x:c r="R5" s="37" t="n">
        <x:v>98</x:v>
      </x:c>
      <x:c r="S5" s="37" t="str">
        <x:v>official_project_page</x:v>
      </x:c>
      <x:c r="T5" s="37" t="str">
        <x:v>has_pilot_or_demo_signal</x:v>
      </x:c>
      <x:c r="U5" s="37" t="str">
        <x:v>extracted_from_official_source</x:v>
      </x:c>
      <x:c r="V5" s="37" t="n">
        <x:v>46223.35761105324</x:v>
      </x:c>
      <x:c r="W5" s="34"/>
      <x:c r="X5" s="34"/>
      <x:c r="Y5" s="34"/>
      <x:c r="Z5" s="34"/>
    </x:row>
    <x:row r="6">
      <x:c r="A6" s="37" t="str">
        <x:v>cordis-101270016</x:v>
      </x:c>
      <x:c r="B6" s="37" t="str">
        <x:v>CORDIS</x:v>
      </x:c>
      <x:c r="C6" s="37" t="str">
        <x:v>101270016</x:v>
      </x:c>
      <x:c r="D6" s="37" t="str">
        <x:v>FIT-HORIZONS</x:v>
      </x:c>
      <x:c r="E6" s="37" t="str">
        <x:v>Flexible Tool Environment for Holistic Retrofits and Decarbonization of Ships</x:v>
      </x:c>
      <x:c r="F6" s="37" t="str">
        <x:v>https://cordis.europa.eu/project/id/101270016</x:v>
      </x:c>
      <x:c r="G6" s="37" t="str">
        <x:v>EU Horizon project</x:v>
      </x:c>
      <x:c r="H6" s="37" t="str">
        <x:v>Green Shipping</x:v>
      </x:c>
      <x:c r="I6" s="37" t="str">
        <x:v>Ship Design and Engineering</x:v>
      </x:c>
      <x:c r="J6" s="37" t="str">
        <x:v>ship retrofit; decarbonisation; ship designers; ship operators; classification society</x:v>
      </x:c>
      <x:c r="K6" s="37" t="str">
        <x:v>EU / multi-country consortium</x:v>
      </x:c>
      <x:c r="L6" s="37" t="str"/>
      <x:c r="M6" s="37" t="str">
        <x:v>FIT-HORIZONS focuses on holistic retrofits and ship decarbonisation tools involving ship designers, operators, technology developers, software developers and a classification society.</x:v>
      </x:c>
      <x:c r="N6" s="37" t="str">
        <x:v>Strong actionability because it involves industry operators, retrofit technology and classification.</x:v>
      </x:c>
      <x:c r="O6" s="37" t="str">
        <x:v>The consortium includes ship designers, ship operators, retrofit technology developers, software developers, research organisations and a maritime cluster.</x:v>
      </x:c>
      <x:c r="P6" s="37" t="str">
        <x:v>latest</x:v>
      </x:c>
      <x:c r="Q6" s="37" t="n">
        <x:v>90</x:v>
      </x:c>
      <x:c r="R6" s="37" t="n">
        <x:v>94</x:v>
      </x:c>
      <x:c r="S6" s="37" t="str">
        <x:v>official_project_page</x:v>
      </x:c>
      <x:c r="T6" s="37" t="str">
        <x:v>active_or_recent</x:v>
      </x:c>
      <x:c r="U6" s="37" t="str">
        <x:v>metadata_plus_search_snippet</x:v>
      </x:c>
      <x:c r="V6" s="37" t="n">
        <x:v>46223.35761105324</x:v>
      </x:c>
      <x:c r="W6" s="34"/>
      <x:c r="X6" s="34"/>
      <x:c r="Y6" s="34"/>
      <x:c r="Z6" s="34"/>
    </x:row>
    <x:row r="7">
      <x:c r="A7" s="37" t="str">
        <x:v>cordis-101189796</x:v>
      </x:c>
      <x:c r="B7" s="37" t="str">
        <x:v>CORDIS</x:v>
      </x:c>
      <x:c r="C7" s="37" t="str">
        <x:v>101189796</x:v>
      </x:c>
      <x:c r="D7" s="37" t="str">
        <x:v>MERLIN</x:v>
      </x:c>
      <x:c r="E7" s="37" t="str">
        <x:v>Demonstration of long-endurance intelligent multi-purpose autonomous vehicles for marine applications</x:v>
      </x:c>
      <x:c r="F7" s="37" t="str">
        <x:v>https://cordis.europa.eu/project/id/101189796</x:v>
      </x:c>
      <x:c r="G7" s="37" t="str">
        <x:v>EU Horizon project</x:v>
      </x:c>
      <x:c r="H7" s="37" t="str">
        <x:v>Autonomous Vessels</x:v>
      </x:c>
      <x:c r="I7" s="37" t="str">
        <x:v>Maritime AI / Marine Robotics</x:v>
      </x:c>
      <x:c r="J7" s="37" t="str">
        <x:v>hydrogen-powered USV; autonomous underwater vessel; AI algorithms; marine applications</x:v>
      </x:c>
      <x:c r="K7" s="37" t="str">
        <x:v>EU / multi-country consortium</x:v>
      </x:c>
      <x:c r="L7" s="37" t="str"/>
      <x:c r="M7" s="37" t="str">
        <x:v>MERLIN deploys hydrogen-powered unmanned surface vessels and autonomous underwater vessels operating autonomously using AI algorithms.</x:v>
      </x:c>
      <x:c r="N7" s="37" t="str">
        <x:v>High-value autonomous marine robotics project with AI and hydrogen-powered vehicle signal.</x:v>
      </x:c>
      <x:c r="O7" s="37" t="str">
        <x:v>MERLIN will deploy hydrogen-powered unmanned surface vessels and autonomous underwater vessels that operate autonomously using AI algorithms.</x:v>
      </x:c>
      <x:c r="P7" s="37" t="str">
        <x:v>active_default</x:v>
      </x:c>
      <x:c r="Q7" s="37" t="n">
        <x:v>91</x:v>
      </x:c>
      <x:c r="R7" s="37" t="n">
        <x:v>96</x:v>
      </x:c>
      <x:c r="S7" s="37" t="str">
        <x:v>official_project_page</x:v>
      </x:c>
      <x:c r="T7" s="37" t="str">
        <x:v>has_pilot_or_demo_signal</x:v>
      </x:c>
      <x:c r="U7" s="37" t="str">
        <x:v>metadata_plus_search_snippet</x:v>
      </x:c>
      <x:c r="V7" s="37" t="n">
        <x:v>46223.35761105324</x:v>
      </x:c>
      <x:c r="W7" s="34"/>
      <x:c r="X7" s="34"/>
      <x:c r="Y7" s="34"/>
      <x:c r="Z7" s="34"/>
    </x:row>
    <x:row r="8">
      <x:c r="A8" s="37" t="str">
        <x:v>cordis-101136257</x:v>
      </x:c>
      <x:c r="B8" s="37" t="str">
        <x:v>CORDIS</x:v>
      </x:c>
      <x:c r="C8" s="37" t="str">
        <x:v>101136257</x:v>
      </x:c>
      <x:c r="D8" s="37" t="str">
        <x:v>AUTOFLEX</x:v>
      </x:c>
      <x:c r="E8" s="37" t="str">
        <x:v>AUTOnomous small and FLEXible vessels</x:v>
      </x:c>
      <x:c r="F8" s="37" t="str">
        <x:v>https://cordis.europa.eu/project/id/101136257</x:v>
      </x:c>
      <x:c r="G8" s="37" t="str">
        <x:v>EU Horizon project</x:v>
      </x:c>
      <x:c r="H8" s="37" t="str">
        <x:v>Autonomous Vessels</x:v>
      </x:c>
      <x:c r="I8" s="37" t="str">
        <x:v>Green Shipping</x:v>
      </x:c>
      <x:c r="J8" s="37" t="str">
        <x:v>autonomous inland vessel; zero-emission propulsion; small flexible vessels; inland waterways</x:v>
      </x:c>
      <x:c r="K8" s="37" t="str">
        <x:v>EU / multi-country consortium</x:v>
      </x:c>
      <x:c r="L8" s="37" t="str"/>
      <x:c r="M8" s="37" t="str">
        <x:v>AUTOFLEX develops small autonomous zero-emission vessels for inland waterway freight, focusing on narrow and shallow waterways.</x:v>
      </x:c>
      <x:c r="N8" s="37" t="str">
        <x:v>Clear autonomous vessel and zero-emission inland shipping application.</x:v>
      </x:c>
      <x:c r="O8" s="37" t="str">
        <x:v>The project develops small, autonomous, zero-emission vessels optimized for energy efficiency and shallow waterways.</x:v>
      </x:c>
      <x:c r="P8" s="37" t="str">
        <x:v>active_default</x:v>
      </x:c>
      <x:c r="Q8" s="37" t="n">
        <x:v>90</x:v>
      </x:c>
      <x:c r="R8" s="37" t="n">
        <x:v>95</x:v>
      </x:c>
      <x:c r="S8" s="37" t="str">
        <x:v>official_project_page</x:v>
      </x:c>
      <x:c r="T8" s="37" t="str">
        <x:v>has_pilot_or_demo_signal</x:v>
      </x:c>
      <x:c r="U8" s="37" t="str">
        <x:v>metadata_plus_search_snippet</x:v>
      </x:c>
      <x:c r="V8" s="37" t="n">
        <x:v>46223.35761105324</x:v>
      </x:c>
      <x:c r="W8" s="34"/>
      <x:c r="X8" s="34"/>
      <x:c r="Y8" s="34"/>
      <x:c r="Z8" s="34"/>
    </x:row>
    <x:row r="9">
      <x:c r="A9" s="37" t="str">
        <x:v>cordis-101056799</x:v>
      </x:c>
      <x:c r="B9" s="37" t="str">
        <x:v>CORDIS</x:v>
      </x:c>
      <x:c r="C9" s="37" t="str">
        <x:v>101056799</x:v>
      </x:c>
      <x:c r="D9" s="37" t="str">
        <x:v>DT4GS</x:v>
      </x:c>
      <x:c r="E9" s="37" t="str">
        <x:v>Open collaboration and open Digital Twin infrastructure for Green Smart Shipping</x:v>
      </x:c>
      <x:c r="F9" s="37" t="str">
        <x:v>https://cordis.europa.eu/project/id/101056799</x:v>
      </x:c>
      <x:c r="G9" s="37" t="str">
        <x:v>EU Horizon project</x:v>
      </x:c>
      <x:c r="H9" s="37" t="str">
        <x:v>Green Shipping</x:v>
      </x:c>
      <x:c r="I9" s="37" t="str">
        <x:v>Maritime AI / Digital Twin</x:v>
      </x:c>
      <x:c r="J9" s="37" t="str">
        <x:v>digital twin; green shipping; fleet optimisation; living labs; CO2e reduction</x:v>
      </x:c>
      <x:c r="K9" s="37" t="str">
        <x:v>EU / multi-country consortium</x:v>
      </x:c>
      <x:c r="L9" s="37" t="str"/>
      <x:c r="M9" s="37" t="str">
        <x:v>DT4GS supports shipping companies in reducing CO2e through real-time configurable digital twins for ship and fleet operational performance optimisation.</x:v>
      </x:c>
      <x:c r="N9" s="37" t="str">
        <x:v>One of the clearest green-shipping digital twin projects; useful for AI/digitalisation country profiles.</x:v>
      </x:c>
      <x:c r="O9" s="37" t="str">
        <x:v>The project aims to support up to 20% CO2e reduction by developing and deploying digital twins in four Living Labs.</x:v>
      </x:c>
      <x:c r="P9" s="37" t="str">
        <x:v>active_default</x:v>
      </x:c>
      <x:c r="Q9" s="37" t="n">
        <x:v>93</x:v>
      </x:c>
      <x:c r="R9" s="37" t="n">
        <x:v>97</x:v>
      </x:c>
      <x:c r="S9" s="37" t="str">
        <x:v>official_project_page</x:v>
      </x:c>
      <x:c r="T9" s="37" t="str">
        <x:v>has_pilot_or_demo_signal</x:v>
      </x:c>
      <x:c r="U9" s="37" t="str">
        <x:v>metadata_plus_search_snippet</x:v>
      </x:c>
      <x:c r="V9" s="37" t="n">
        <x:v>46223.35761105324</x:v>
      </x:c>
      <x:c r="W9" s="34"/>
      <x:c r="X9" s="34"/>
      <x:c r="Y9" s="34"/>
      <x:c r="Z9" s="34"/>
    </x:row>
    <x:row r="10">
      <x:c r="A10" s="37" t="str">
        <x:v>cordis-101096923</x:v>
      </x:c>
      <x:c r="B10" s="37" t="str">
        <x:v>CORDIS</x:v>
      </x:c>
      <x:c r="C10" s="37" t="str">
        <x:v>101096923</x:v>
      </x:c>
      <x:c r="D10" s="37" t="str">
        <x:v>SEAMLESS</x:v>
      </x:c>
      <x:c r="E10" s="37" t="str">
        <x:v>Safe, Efficient and Autonomous: Multimodal Library of European Shortsea and inland Solutions</x:v>
      </x:c>
      <x:c r="F10" s="37" t="str">
        <x:v>https://cordis.europa.eu/project/id/101096923</x:v>
      </x:c>
      <x:c r="G10" s="37" t="str">
        <x:v>EU Horizon project</x:v>
      </x:c>
      <x:c r="H10" s="37" t="str">
        <x:v>Autonomous Vessels</x:v>
      </x:c>
      <x:c r="I10" s="37" t="str">
        <x:v>Maritime Logistics</x:v>
      </x:c>
      <x:c r="J10" s="37" t="str">
        <x:v>autonomous short sea; inland waterways; multimodal transport; safety; efficiency</x:v>
      </x:c>
      <x:c r="K10" s="37" t="str">
        <x:v>EU / multi-country consortium</x:v>
      </x:c>
      <x:c r="L10" s="37" t="str"/>
      <x:c r="M10" s="37" t="str">
        <x:v>SEAMLESS focuses on safe, efficient and autonomous solutions for European short sea and inland waterway transport.</x:v>
      </x:c>
      <x:c r="N10" s="37" t="str">
        <x:v>Relevant to autonomous waterborne transport and multimodal logistics.</x:v>
      </x:c>
      <x:c r="O10" s="37" t="str">
        <x:v>CORDIS lists SEAMLESS under safe, efficient and autonomous shortsea and inland solutions.</x:v>
      </x:c>
      <x:c r="P10" s="37" t="str">
        <x:v>active_default</x:v>
      </x:c>
      <x:c r="Q10" s="37" t="n">
        <x:v>86</x:v>
      </x:c>
      <x:c r="R10" s="37" t="n">
        <x:v>92</x:v>
      </x:c>
      <x:c r="S10" s="37" t="str">
        <x:v>official_project_page</x:v>
      </x:c>
      <x:c r="T10" s="37" t="str">
        <x:v>active_or_recent</x:v>
      </x:c>
      <x:c r="U10" s="37" t="str">
        <x:v>metadata_plus_search_snippet</x:v>
      </x:c>
      <x:c r="V10" s="37" t="n">
        <x:v>46223.35761105324</x:v>
      </x:c>
      <x:c r="W10" s="34"/>
      <x:c r="X10" s="34"/>
      <x:c r="Y10" s="34"/>
      <x:c r="Z10" s="34"/>
    </x:row>
    <x:row r="11">
      <x:c r="A11" s="37" t="str">
        <x:v>cordis-101173002</x:v>
      </x:c>
      <x:c r="B11" s="37" t="str">
        <x:v>CORDIS</x:v>
      </x:c>
      <x:c r="C11" s="37" t="str">
        <x:v>101173002</x:v>
      </x:c>
      <x:c r="D11" s="37" t="str">
        <x:v>SEAFAIRER</x:v>
      </x:c>
      <x:c r="E11" s="37" t="str">
        <x:v>Sustainable Energy and Alternative Fuels from Advanced Intermediate Renewable Energy carrieR technology</x:v>
      </x:c>
      <x:c r="F11" s="37" t="str">
        <x:v>https://cordis.europa.eu/project/id/101173002</x:v>
      </x:c>
      <x:c r="G11" s="37" t="str">
        <x:v>EU Horizon project</x:v>
      </x:c>
      <x:c r="H11" s="37" t="str">
        <x:v>Alternative Fuels</x:v>
      </x:c>
      <x:c r="I11" s="37" t="str">
        <x:v>Green Shipping</x:v>
      </x:c>
      <x:c r="J11" s="37" t="str">
        <x:v>sustainable energy; alternative fuels; maritime shipping; renewable energy carrier</x:v>
      </x:c>
      <x:c r="K11" s="37" t="str">
        <x:v>EU / multi-country consortium</x:v>
      </x:c>
      <x:c r="L11" s="37" t="str"/>
      <x:c r="M11" s="37" t="str">
        <x:v>SEAFAIRER relates to sustainable energy and alternative fuels for maritime shipping, with CORDIS results linking to decarbonisation of maritime shipping.</x:v>
      </x:c>
      <x:c r="N11" s="37" t="str">
        <x:v>Useful alternative-fuels record with project/funding source; needs follow-up enrichment later.</x:v>
      </x:c>
      <x:c r="O11" s="37" t="str">
        <x:v>CORDIS results mention understanding the decarbonisation of maritime shipping.</x:v>
      </x:c>
      <x:c r="P11" s="37" t="str">
        <x:v>active_default</x:v>
      </x:c>
      <x:c r="Q11" s="37" t="n">
        <x:v>82</x:v>
      </x:c>
      <x:c r="R11" s="37" t="n">
        <x:v>90</x:v>
      </x:c>
      <x:c r="S11" s="37" t="str">
        <x:v>official_project_page</x:v>
      </x:c>
      <x:c r="T11" s="37" t="str">
        <x:v>active_or_recent</x:v>
      </x:c>
      <x:c r="U11" s="37" t="str">
        <x:v>metadata_plus_search_snippet</x:v>
      </x:c>
      <x:c r="V11" s="37" t="n">
        <x:v>46223.35761105324</x:v>
      </x:c>
      <x:c r="W11" s="34"/>
      <x:c r="X11" s="34"/>
      <x:c r="Y11" s="34"/>
      <x:c r="Z11" s="34"/>
    </x:row>
    <x:row r="12">
      <x:c r="A12" s="37" t="str">
        <x:v>cordis-101138583</x:v>
      </x:c>
      <x:c r="B12" s="37" t="str">
        <x:v>CORDIS</x:v>
      </x:c>
      <x:c r="C12" s="37" t="str">
        <x:v>101138583</x:v>
      </x:c>
      <x:c r="D12" s="37" t="str">
        <x:v>MISSION</x:v>
      </x:c>
      <x:c r="E12" s="37" t="str">
        <x:v>MARITIME JUST-IN-TIME OPTIMIZATION INTEROPERABLE PORT CALL AND VOYAGE OPTIMIZATION TOOL</x:v>
      </x:c>
      <x:c r="F12" s="37" t="str">
        <x:v>https://cordis.europa.eu/project/id/101138583</x:v>
      </x:c>
      <x:c r="G12" s="37" t="str">
        <x:v>EU Horizon project</x:v>
      </x:c>
      <x:c r="H12" s="37" t="str">
        <x:v>Smart Ports</x:v>
      </x:c>
      <x:c r="I12" s="37" t="str">
        <x:v>Maritime Logistics</x:v>
      </x:c>
      <x:c r="J12" s="37" t="str">
        <x:v>just-in-time arrival; port call optimisation; voyage optimisation; interoperability</x:v>
      </x:c>
      <x:c r="K12" s="37" t="str">
        <x:v>EU / multi-country consortium</x:v>
      </x:c>
      <x:c r="L12" s="37" t="str"/>
      <x:c r="M12" s="37" t="str">
        <x:v>MISSION focuses on interoperable port call and voyage optimisation tools for maritime just-in-time operations.</x:v>
      </x:c>
      <x:c r="N12" s="37" t="str">
        <x:v>Useful for smart port and voyage optimisation category, especially for operational decarbonisation.</x:v>
      </x:c>
      <x:c r="O12" s="37" t="str">
        <x:v>CORDIS lists MISSION as a maritime just-in-time optimisation interoperable port call and voyage optimisation tool.</x:v>
      </x:c>
      <x:c r="P12" s="37" t="str">
        <x:v>active_default</x:v>
      </x:c>
      <x:c r="Q12" s="37" t="n">
        <x:v>87</x:v>
      </x:c>
      <x:c r="R12" s="37" t="n">
        <x:v>93</x:v>
      </x:c>
      <x:c r="S12" s="37" t="str">
        <x:v>official_project_page</x:v>
      </x:c>
      <x:c r="T12" s="37" t="str">
        <x:v>active_or_recent</x:v>
      </x:c>
      <x:c r="U12" s="37" t="str">
        <x:v>metadata_plus_search_snippet</x:v>
      </x:c>
      <x:c r="V12" s="37" t="n">
        <x:v>46223.35761105324</x:v>
      </x:c>
      <x:c r="W12" s="34"/>
      <x:c r="X12" s="34"/>
      <x:c r="Y12" s="34"/>
      <x:c r="Z12" s="34"/>
    </x:row>
    <x:row r="13">
      <x:c r="A13" s="37" t="str">
        <x:v>cordis-101271064</x:v>
      </x:c>
      <x:c r="B13" s="37" t="str">
        <x:v>CORDIS</x:v>
      </x:c>
      <x:c r="C13" s="37" t="str">
        <x:v>101271064</x:v>
      </x:c>
      <x:c r="D13" s="37" t="str">
        <x:v>SeaThrive</x:v>
      </x:c>
      <x:c r="E13" s="37" t="str">
        <x:v>SUPPORTING MARITIME ALTERNATIVE FUEL PROJECTS</x:v>
      </x:c>
      <x:c r="F13" s="37" t="str">
        <x:v>https://cordis.europa.eu/project/id/101271064</x:v>
      </x:c>
      <x:c r="G13" s="37" t="str">
        <x:v>EU Horizon project</x:v>
      </x:c>
      <x:c r="H13" s="37" t="str">
        <x:v>Alternative Fuels</x:v>
      </x:c>
      <x:c r="I13" s="37" t="str">
        <x:v>Green Shipping</x:v>
      </x:c>
      <x:c r="J13" s="37" t="str">
        <x:v>alternative fuel projects; renewable and low carbon fuel ecosystem; maritime sector coordination</x:v>
      </x:c>
      <x:c r="K13" s="37" t="str">
        <x:v>EU / multi-country consortium</x:v>
      </x:c>
      <x:c r="L13" s="37" t="str"/>
      <x:c r="M13" s="37" t="str">
        <x:v>SeaThrive supports maritime alternative fuel projects and coordination in the waterborne renewable and low-carbon fuel ecosystem.</x:v>
      </x:c>
      <x:c r="N13" s="37" t="str">
        <x:v>Good ecosystem/coordination source for alternative fuel projects, though less technology-specific.</x:v>
      </x:c>
      <x:c r="O13" s="37" t="str">
        <x:v>CORDIS describes the project as support for the new EU renewable and low carbon fuel ecosystem for waterborne transport.</x:v>
      </x:c>
      <x:c r="P13" s="37" t="str">
        <x:v>latest</x:v>
      </x:c>
      <x:c r="Q13" s="37" t="n">
        <x:v>80</x:v>
      </x:c>
      <x:c r="R13" s="37" t="n">
        <x:v>88</x:v>
      </x:c>
      <x:c r="S13" s="37" t="str">
        <x:v>official_project_page</x:v>
      </x:c>
      <x:c r="T13" s="37" t="str">
        <x:v>active_or_recent</x:v>
      </x:c>
      <x:c r="U13" s="37" t="str">
        <x:v>metadata_plus_search_snippet</x:v>
      </x:c>
      <x:c r="V13" s="37" t="n">
        <x:v>46223.35761105324</x:v>
      </x:c>
      <x:c r="W13" s="34"/>
      <x:c r="X13" s="34"/>
      <x:c r="Y13" s="34"/>
      <x:c r="Z13" s="34"/>
    </x:row>
    <x:row r="14">
      <x:c r="A14" s="37" t="str">
        <x:v>cordis-101225772</x:v>
      </x:c>
      <x:c r="B14" s="37" t="str">
        <x:v>CORDIS</x:v>
      </x:c>
      <x:c r="C14" s="37" t="str">
        <x:v>101225772</x:v>
      </x:c>
      <x:c r="D14" s="37" t="str">
        <x:v>MARCONNECT</x:v>
      </x:c>
      <x:c r="E14" s="37" t="str">
        <x:v>Securing Europe’s MARitime domain against threats through vessel-CONNECTed services</x:v>
      </x:c>
      <x:c r="F14" s="37" t="str">
        <x:v>https://cordis.europa.eu/project/id/101225772</x:v>
      </x:c>
      <x:c r="G14" s="37" t="str">
        <x:v>EU Horizon project</x:v>
      </x:c>
      <x:c r="H14" s="37" t="str">
        <x:v>Maritime Cybersecurity</x:v>
      </x:c>
      <x:c r="I14" s="37" t="str">
        <x:v>Maritime Security</x:v>
      </x:c>
      <x:c r="J14" s="37" t="str">
        <x:v>maritime domain security; connected vessels; threat response; vessel-connected services</x:v>
      </x:c>
      <x:c r="K14" s="37" t="str">
        <x:v>EU / multi-country consortium</x:v>
      </x:c>
      <x:c r="L14" s="37" t="str"/>
      <x:c r="M14" s="37" t="str">
        <x:v>MARCONNECT addresses maritime-domain threats using vessel-connected services.</x:v>
      </x:c>
      <x:c r="N14" s="37" t="str">
        <x:v>Useful security/cyber-adjacent maritime-domain project source, needs further source enrichment.</x:v>
      </x:c>
      <x:c r="O14" s="37" t="str">
        <x:v>CORDIS lists MARCONNECT as securing Europe’s maritime domain against threats through vessel-connected services.</x:v>
      </x:c>
      <x:c r="P14" s="37" t="str">
        <x:v>latest</x:v>
      </x:c>
      <x:c r="Q14" s="37" t="n">
        <x:v>78</x:v>
      </x:c>
      <x:c r="R14" s="37" t="n">
        <x:v>86</x:v>
      </x:c>
      <x:c r="S14" s="37" t="str">
        <x:v>official_project_page</x:v>
      </x:c>
      <x:c r="T14" s="37" t="str">
        <x:v>active_or_recent</x:v>
      </x:c>
      <x:c r="U14" s="37" t="str">
        <x:v>metadata_plus_search_snippet</x:v>
      </x:c>
      <x:c r="V14" s="37" t="n">
        <x:v>46223.35761105324</x:v>
      </x:c>
      <x:c r="W14" s="34"/>
      <x:c r="X14" s="34"/>
      <x:c r="Y14" s="34"/>
      <x:c r="Z14" s="34"/>
    </x:row>
    <x:row r="15">
      <x:c r="A15" s="37" t="str">
        <x:v>cordis-101328431</x:v>
      </x:c>
      <x:c r="B15" s="37" t="str">
        <x:v>CORDIS</x:v>
      </x:c>
      <x:c r="C15" s="37" t="str">
        <x:v>101328431</x:v>
      </x:c>
      <x:c r="D15" s="37" t="str">
        <x:v>Angler AI agent</x:v>
      </x:c>
      <x:c r="E15" s="37" t="str">
        <x:v>Physical AI-powered hybrid maritime agent for coastal monitoring and infrastructure inspection</x:v>
      </x:c>
      <x:c r="F15" s="37" t="str">
        <x:v>https://cordis.europa.eu/project/id/101328431</x:v>
      </x:c>
      <x:c r="G15" s="37" t="str">
        <x:v>EU Horizon project</x:v>
      </x:c>
      <x:c r="H15" s="37" t="str">
        <x:v>Maritime AI</x:v>
      </x:c>
      <x:c r="I15" s="37" t="str">
        <x:v>Marine Robotics / Offshore</x:v>
      </x:c>
      <x:c r="J15" s="37" t="str">
        <x:v>physical AI; maritime agent; coastal monitoring; infrastructure inspection; autonomous systems</x:v>
      </x:c>
      <x:c r="K15" s="37" t="str">
        <x:v>EU / multi-country consortium</x:v>
      </x:c>
      <x:c r="L15" s="37" t="str"/>
      <x:c r="M15" s="37" t="str">
        <x:v>Angler contributes to autonomous maritime systems for monitoring ports, subsea cables, offshore renewable assets and coastal ecosystems.</x:v>
      </x:c>
      <x:c r="N15" s="37" t="str">
        <x:v>Very recent project and strongly relevant to maritime AI, autonomous systems and offshore inspection.</x:v>
      </x:c>
      <x:c r="O15" s="37" t="str">
        <x:v>CORDIS states Angler supports resilient monitoring of ports, subsea cables, offshore renewable assets and coastal ecosystems.</x:v>
      </x:c>
      <x:c r="P15" s="37" t="str">
        <x:v>latest</x:v>
      </x:c>
      <x:c r="Q15" s="37" t="n">
        <x:v>92</x:v>
      </x:c>
      <x:c r="R15" s="37" t="n">
        <x:v>96</x:v>
      </x:c>
      <x:c r="S15" s="37" t="str">
        <x:v>official_project_page</x:v>
      </x:c>
      <x:c r="T15" s="37" t="str">
        <x:v>active_or_recent</x:v>
      </x:c>
      <x:c r="U15" s="37" t="str">
        <x:v>metadata_plus_search_snippet</x:v>
      </x:c>
      <x:c r="V15" s="37" t="n">
        <x:v>46223.35761105324</x:v>
      </x:c>
      <x:c r="W15" s="34"/>
      <x:c r="X15" s="34"/>
      <x:c r="Y15" s="34"/>
      <x:c r="Z15" s="34"/>
    </x:row>
    <x:row r="16">
      <x:c r="A16" s="37" t="str">
        <x:v>cordis-101250260</x:v>
      </x:c>
      <x:c r="B16" s="37" t="str">
        <x:v>CORDIS</x:v>
      </x:c>
      <x:c r="C16" s="37" t="str">
        <x:v>101250260</x:v>
      </x:c>
      <x:c r="D16" s="37" t="str">
        <x:v>MiNaMi</x:v>
      </x:c>
      <x:c r="E16" s="37" t="str">
        <x:v>Million Nautical Mile Fuel Cell System</x:v>
      </x:c>
      <x:c r="F16" s="37" t="str">
        <x:v>https://cordis.europa.eu/project/id/101250260</x:v>
      </x:c>
      <x:c r="G16" s="37" t="str">
        <x:v>EU Horizon project</x:v>
      </x:c>
      <x:c r="H16" s="37" t="str">
        <x:v>Alternative Fuels</x:v>
      </x:c>
      <x:c r="I16" s="37" t="str">
        <x:v>Green Shipping</x:v>
      </x:c>
      <x:c r="J16" s="37" t="str">
        <x:v>PEM fuel cell; megawatt-scale fuel cell; maritime applications; green shipping</x:v>
      </x:c>
      <x:c r="K16" s="37" t="str">
        <x:v>EU / multi-country consortium</x:v>
      </x:c>
      <x:c r="L16" s="37" t="str"/>
      <x:c r="M16" s="37" t="str">
        <x:v>MiNaMi develops a megawatt-scale PEM fuel cell system for maritime applications with focus on durability.</x:v>
      </x:c>
      <x:c r="N16" s="37" t="str">
        <x:v>Clear technology-development record for maritime fuel-cell systems.</x:v>
      </x:c>
      <x:c r="O16" s="37" t="str">
        <x:v>CORDIS describes MiNaMi as developing a megawatt-scale PEM fuel cell with maritime application focus.</x:v>
      </x:c>
      <x:c r="P16" s="37" t="str">
        <x:v>latest</x:v>
      </x:c>
      <x:c r="Q16" s="37" t="n">
        <x:v>91</x:v>
      </x:c>
      <x:c r="R16" s="37" t="n">
        <x:v>95</x:v>
      </x:c>
      <x:c r="S16" s="37" t="str">
        <x:v>official_project_page</x:v>
      </x:c>
      <x:c r="T16" s="37" t="str">
        <x:v>active_or_recent</x:v>
      </x:c>
      <x:c r="U16" s="37" t="str">
        <x:v>metadata_plus_search_snippet</x:v>
      </x:c>
      <x:c r="V16" s="37" t="n">
        <x:v>46223.35761105324</x:v>
      </x:c>
      <x:c r="W16" s="34"/>
      <x:c r="X16" s="34"/>
      <x:c r="Y16" s="34"/>
      <x:c r="Z16" s="34"/>
    </x:row>
    <x:row r="17">
      <x:c r="A17" s="37" t="str">
        <x:v>cordis-101069828</x:v>
      </x:c>
      <x:c r="B17" s="37" t="str">
        <x:v>CORDIS</x:v>
      </x:c>
      <x:c r="C17" s="37" t="str">
        <x:v>101069828</x:v>
      </x:c>
      <x:c r="D17" s="37" t="str">
        <x:v>FuelSOME</x:v>
      </x:c>
      <x:c r="E17" s="37" t="str">
        <x:v>Multifuel SOFC system with Maritime Energy vectors</x:v>
      </x:c>
      <x:c r="F17" s="37" t="str">
        <x:v>https://cordis.europa.eu/project/id/101069828</x:v>
      </x:c>
      <x:c r="G17" s="37" t="str">
        <x:v>EU Horizon project</x:v>
      </x:c>
      <x:c r="H17" s="37" t="str">
        <x:v>Alternative Fuels</x:v>
      </x:c>
      <x:c r="I17" s="37" t="str">
        <x:v>Green Shipping</x:v>
      </x:c>
      <x:c r="J17" s="37" t="str">
        <x:v>SOFC; multi-fuel maritime energy vectors; long-distance shipping; energy generation</x:v>
      </x:c>
      <x:c r="K17" s="37" t="str">
        <x:v>EU / multi-country consortium</x:v>
      </x:c>
      <x:c r="L17" s="37" t="str"/>
      <x:c r="M17" s="37" t="str">
        <x:v>FuelSOME establishes technological feasibility of a flexible, scalable multi-fuel SOFC system for long-distance maritime shipping.</x:v>
      </x:c>
      <x:c r="N17" s="37" t="str">
        <x:v>Specific energy-system technology for maritime decarbonisation.</x:v>
      </x:c>
      <x:c r="O17" s="37" t="str">
        <x:v>CORDIS says FuelSOME focuses on a flexible, scalable, multi-fuel SOFC energy generation system for long-distance shipping.</x:v>
      </x:c>
      <x:c r="P17" s="37" t="str">
        <x:v>active_default</x:v>
      </x:c>
      <x:c r="Q17" s="37" t="n">
        <x:v>86</x:v>
      </x:c>
      <x:c r="R17" s="37" t="n">
        <x:v>92</x:v>
      </x:c>
      <x:c r="S17" s="37" t="str">
        <x:v>official_project_page</x:v>
      </x:c>
      <x:c r="T17" s="37" t="str">
        <x:v>active_or_recent</x:v>
      </x:c>
      <x:c r="U17" s="37" t="str">
        <x:v>metadata_plus_search_snippet</x:v>
      </x:c>
      <x:c r="V17" s="37" t="n">
        <x:v>46223.35761105324</x:v>
      </x:c>
      <x:c r="W17" s="34"/>
      <x:c r="X17" s="34"/>
      <x:c r="Y17" s="34"/>
      <x:c r="Z17" s="34"/>
    </x:row>
    <x:row r="18">
      <x:c r="A18" s="37" t="str">
        <x:v>cordis-887927</x:v>
      </x:c>
      <x:c r="B18" s="37" t="str">
        <x:v>CORDIS</x:v>
      </x:c>
      <x:c r="C18" s="37" t="str">
        <x:v>887927</x:v>
      </x:c>
      <x:c r="D18" s="37" t="str">
        <x:v>SafePort</x:v>
      </x:c>
      <x:c r="E18" s="37" t="str">
        <x:v>A Novel Smart System for the safe Management of Nautical operations</x:v>
      </x:c>
      <x:c r="F18" s="37" t="str">
        <x:v>https://cordis.europa.eu/project/id/887927</x:v>
      </x:c>
      <x:c r="G18" s="37" t="str">
        <x:v>EU H2020 project</x:v>
      </x:c>
      <x:c r="H18" s="37" t="str">
        <x:v>Smart Ports</x:v>
      </x:c>
      <x:c r="I18" s="37" t="str">
        <x:v>Maritime Safety</x:v>
      </x:c>
      <x:c r="J18" s="37" t="str">
        <x:v>real-time port approach; ship-port interaction; meteorological data; nautical operation safety</x:v>
      </x:c>
      <x:c r="K18" s="37" t="str">
        <x:v>EU / multi-country consortium</x:v>
      </x:c>
      <x:c r="L18" s="37" t="str"/>
      <x:c r="M18" s="37" t="str">
        <x:v>SafePort collects real-time ship approach, meteorological and maritime data to support safe nautical operations and port-infrastructure interaction.</x:v>
      </x:c>
      <x:c r="N18" s="37" t="str">
        <x:v>Older but useful smart-port operational safety record; should be archive/background unless follow-up is found.</x:v>
      </x:c>
      <x:c r="O18" s="37" t="str">
        <x:v>The technology collects real-time information about ships approaching ports and maritime conditions.</x:v>
      </x:c>
      <x:c r="P18" s="37" t="str">
        <x:v>archive_background</x:v>
      </x:c>
      <x:c r="Q18" s="37" t="n">
        <x:v>68</x:v>
      </x:c>
      <x:c r="R18" s="37" t="n">
        <x:v>84</x:v>
      </x:c>
      <x:c r="S18" s="37" t="str">
        <x:v>official_project_page</x:v>
      </x:c>
      <x:c r="T18" s="37" t="str">
        <x:v>archive_background_needs_follow_up_check</x:v>
      </x:c>
      <x:c r="U18" s="37" t="str">
        <x:v>metadata_plus_search_snippet</x:v>
      </x:c>
      <x:c r="V18" s="37" t="n">
        <x:v>46223.35761105324</x:v>
      </x:c>
      <x:c r="W18" s="34"/>
      <x:c r="X18" s="34"/>
      <x:c r="Y18" s="34"/>
      <x:c r="Z18" s="34"/>
    </x:row>
    <x:row r="19">
      <x:c r="A19" s="37" t="str">
        <x:v>cordis-101236476</x:v>
      </x:c>
      <x:c r="B19" s="37" t="str">
        <x:v>CORDIS</x:v>
      </x:c>
      <x:c r="C19" s="37" t="str">
        <x:v>101236476</x:v>
      </x:c>
      <x:c r="D19" s="37" t="str">
        <x:v>PORTAL</x:v>
      </x:c>
      <x:c r="E19" s="37" t="str">
        <x:v>Adaptive strategies for enhancing threat-agnostic resilience of port ecosystems</x:v>
      </x:c>
      <x:c r="F19" s="37" t="str">
        <x:v>https://cordis.europa.eu/project/id/101236476</x:v>
      </x:c>
      <x:c r="G19" s="37" t="str">
        <x:v>EU Horizon project</x:v>
      </x:c>
      <x:c r="H19" s="37" t="str">
        <x:v>Smart Ports</x:v>
      </x:c>
      <x:c r="I19" s="37" t="str">
        <x:v>Maritime Security / Resilience</x:v>
      </x:c>
      <x:c r="J19" s="37" t="str">
        <x:v>port resilience; multi-hazard risks; port infrastructure; socio-ecological systems</x:v>
      </x:c>
      <x:c r="K19" s="37" t="str">
        <x:v>EU / multi-country consortium</x:v>
      </x:c>
      <x:c r="L19" s="37" t="str"/>
      <x:c r="M19" s="37" t="str">
        <x:v>PORTAL develops a framework for improving resilience of port infrastructure and socio-ecological systems against multi-hazard risks.</x:v>
      </x:c>
      <x:c r="N19" s="37" t="str">
        <x:v>Recent port resilience record; useful for security/resilience but less directly technology-product oriented.</x:v>
      </x:c>
      <x:c r="O19" s="37" t="str">
        <x:v>CORDIS describes PORTAL as a threat-agnostic framework for enhancing resilience of port infrastructure.</x:v>
      </x:c>
      <x:c r="P19" s="37" t="str">
        <x:v>latest</x:v>
      </x:c>
      <x:c r="Q19" s="37" t="n">
        <x:v>79</x:v>
      </x:c>
      <x:c r="R19" s="37" t="n">
        <x:v>88</x:v>
      </x:c>
      <x:c r="S19" s="37" t="str">
        <x:v>official_project_page</x:v>
      </x:c>
      <x:c r="T19" s="37" t="str">
        <x:v>active_or_recent</x:v>
      </x:c>
      <x:c r="U19" s="37" t="str">
        <x:v>metadata_plus_search_snippet</x:v>
      </x:c>
      <x:c r="V19" s="37" t="n">
        <x:v>46223.35761105324</x:v>
      </x:c>
      <x:c r="W19" s="34"/>
      <x:c r="X19" s="34"/>
      <x:c r="Y19" s="34"/>
      <x:c r="Z19" s="34"/>
    </x:row>
    <x:row r="20">
      <x:c r="A20" s="37" t="str">
        <x:v>cordis-955413</x:v>
      </x:c>
      <x:c r="B20" s="37" t="str">
        <x:v>CORDIS</x:v>
      </x:c>
      <x:c r="C20" s="37" t="str">
        <x:v>955413</x:v>
      </x:c>
      <x:c r="D20" s="37" t="str">
        <x:v>ENGIMMONIA</x:v>
      </x:c>
      <x:c r="E20" s="37" t="str">
        <x:v>Sustainable technologies for future long distance shipping towards complete decarbonisation</x:v>
      </x:c>
      <x:c r="F20" s="37" t="str">
        <x:v>https://cordis.europa.eu/project/id/955413</x:v>
      </x:c>
      <x:c r="G20" s="37" t="str">
        <x:v>EU H2020 project</x:v>
      </x:c>
      <x:c r="H20" s="37" t="str">
        <x:v>Alternative Fuels</x:v>
      </x:c>
      <x:c r="I20" s="37" t="str">
        <x:v>Green Shipping</x:v>
      </x:c>
      <x:c r="J20" s="37" t="str">
        <x:v>ammonia; alternative fuels; waste heat recovery; long-distance shipping; decarbonisation</x:v>
      </x:c>
      <x:c r="K20" s="37" t="str">
        <x:v>EU / multi-country consortium</x:v>
      </x:c>
      <x:c r="L20" s="37" t="str"/>
      <x:c r="M20" s="37" t="str">
        <x:v>ENGIMMONIA promotes alternative fuels such as ammonia and clean energy technologies for future long-distance shipping decarbonisation.</x:v>
      </x:c>
      <x:c r="N20" s="37" t="str">
        <x:v>Strong H2020 background record for ammonia and clean-energy maritime technologies.</x:v>
      </x:c>
      <x:c r="O20" s="37" t="str">
        <x:v>CORDIS states the project promotes alternative fuels like ammonia for maritime sector decarbonisation.</x:v>
      </x:c>
      <x:c r="P20" s="37" t="str">
        <x:v>active_default</x:v>
      </x:c>
      <x:c r="Q20" s="37" t="n">
        <x:v>84</x:v>
      </x:c>
      <x:c r="R20" s="37" t="n">
        <x:v>94</x:v>
      </x:c>
      <x:c r="S20" s="37" t="str">
        <x:v>official_project_page</x:v>
      </x:c>
      <x:c r="T20" s="37" t="str">
        <x:v>has_project_or_funding_link</x:v>
      </x:c>
      <x:c r="U20" s="37" t="str">
        <x:v>metadata_plus_search_snippet</x:v>
      </x:c>
      <x:c r="V20" s="37" t="n">
        <x:v>46223.35761105324</x:v>
      </x:c>
      <x:c r="W20" s="34"/>
      <x:c r="X20" s="34"/>
      <x:c r="Y20" s="34"/>
      <x:c r="Z20" s="34"/>
    </x:row>
    <x:row r="21">
      <x:c r="A21" s="37" t="str">
        <x:v>cordis-101136349</x:v>
      </x:c>
      <x:c r="B21" s="37" t="str">
        <x:v>CORDIS</x:v>
      </x:c>
      <x:c r="C21" s="37" t="str">
        <x:v>101136349</x:v>
      </x:c>
      <x:c r="D21" s="37" t="str">
        <x:v>MARBLE</x:v>
      </x:c>
      <x:c r="E21" s="37" t="str">
        <x:v>Centre of Excellence in Maritime Robotics and Technologies for Sustainable Blue Economy</x:v>
      </x:c>
      <x:c r="F21" s="37" t="str">
        <x:v>https://cordis.europa.eu/project/id/101136349</x:v>
      </x:c>
      <x:c r="G21" s="37" t="str">
        <x:v>EU Horizon project</x:v>
      </x:c>
      <x:c r="H21" s="37" t="str">
        <x:v>Marine Robotics</x:v>
      </x:c>
      <x:c r="I21" s="37" t="str">
        <x:v>Offshore / Ocean Technology</x:v>
      </x:c>
      <x:c r="J21" s="37" t="str">
        <x:v>maritime robotics; centre of excellence; sustainable blue economy; ocean technology</x:v>
      </x:c>
      <x:c r="K21" s="37" t="str">
        <x:v>EU / multi-country consortium</x:v>
      </x:c>
      <x:c r="L21" s="37" t="str"/>
      <x:c r="M21" s="37" t="str">
        <x:v>MARBLE aims to establish a centre of excellence in maritime robotics and technologies for sustainable blue economy.</x:v>
      </x:c>
      <x:c r="N21" s="37" t="str">
        <x:v>Useful institution/cluster-level project, rather than one technology alone.</x:v>
      </x:c>
      <x:c r="O21" s="37" t="str">
        <x:v>CORDIS describes MARBLE as establishing a centre of excellence in maritime robotics and blue-economy technologies.</x:v>
      </x:c>
      <x:c r="P21" s="37" t="str">
        <x:v>active_default</x:v>
      </x:c>
      <x:c r="Q21" s="37" t="n">
        <x:v>82</x:v>
      </x:c>
      <x:c r="R21" s="37" t="n">
        <x:v>91</x:v>
      </x:c>
      <x:c r="S21" s="37" t="str">
        <x:v>official_project_page</x:v>
      </x:c>
      <x:c r="T21" s="37" t="str">
        <x:v>has_project_or_funding_link</x:v>
      </x:c>
      <x:c r="U21" s="37" t="str">
        <x:v>metadata_plus_search_snippet</x:v>
      </x:c>
      <x:c r="V21" s="37" t="n">
        <x:v>46223.35761105324</x:v>
      </x:c>
      <x:c r="W21" s="34"/>
      <x:c r="X21" s="34"/>
      <x:c r="Y21" s="34"/>
      <x:c r="Z21" s="34"/>
    </x:row>
    <x:row r="22">
      <x:c r="A22" s="37" t="str">
        <x:v>cordis-101096487</x:v>
      </x:c>
      <x:c r="B22" s="37" t="str">
        <x:v>CORDIS</x:v>
      </x:c>
      <x:c r="C22" s="37" t="str">
        <x:v>101096487</x:v>
      </x:c>
      <x:c r="D22" s="37" t="str">
        <x:v>AIRSHIP</x:v>
      </x:c>
      <x:c r="E22" s="37" t="str">
        <x:v>AUTONOMOUS FLYING SHIPS FOR INTER-ISLAND AND INLAND WATERS TRANSPORT</x:v>
      </x:c>
      <x:c r="F22" s="37" t="str">
        <x:v>https://cordis.europa.eu/project/id/101096487</x:v>
      </x:c>
      <x:c r="G22" s="37" t="str">
        <x:v>EU Horizon project</x:v>
      </x:c>
      <x:c r="H22" s="37" t="str">
        <x:v>Autonomous Vessels</x:v>
      </x:c>
      <x:c r="I22" s="37" t="str">
        <x:v>Maritime Logistics</x:v>
      </x:c>
      <x:c r="J22" s="37" t="str">
        <x:v>autonomous flying ships; inter-island transport; inland waters transport; clean mobility</x:v>
      </x:c>
      <x:c r="K22" s="37" t="str">
        <x:v>EU / multi-country consortium</x:v>
      </x:c>
      <x:c r="L22" s="37" t="str"/>
      <x:c r="M22" s="37" t="str">
        <x:v>AIRSHIP explores autonomous flying ships for inter-island and inland waters transport.</x:v>
      </x:c>
      <x:c r="N22" s="37" t="str">
        <x:v>Unusual autonomous transport concept; useful as an innovation/high-risk record.</x:v>
      </x:c>
      <x:c r="O22" s="37" t="str">
        <x:v>CORDIS lists AIRSHIP as autonomous flying ships for inter-island and inland waters transport.</x:v>
      </x:c>
      <x:c r="P22" s="37" t="str">
        <x:v>active_default</x:v>
      </x:c>
      <x:c r="Q22" s="37" t="n">
        <x:v>77</x:v>
      </x:c>
      <x:c r="R22" s="37" t="n">
        <x:v>85</x:v>
      </x:c>
      <x:c r="S22" s="37" t="str">
        <x:v>official_project_page</x:v>
      </x:c>
      <x:c r="T22" s="37" t="str">
        <x:v>has_project_or_funding_link</x:v>
      </x:c>
      <x:c r="U22" s="37" t="str">
        <x:v>metadata_plus_search_snippet</x:v>
      </x:c>
      <x:c r="V22" s="37" t="n">
        <x:v>46223.35761105324</x:v>
      </x:c>
      <x:c r="W22" s="34"/>
      <x:c r="X22" s="34"/>
      <x:c r="Y22" s="34"/>
      <x:c r="Z22" s="34"/>
    </x:row>
    <x:row r="23">
      <x:c r="A23" s="37" t="str">
        <x:v>cordis-101121129</x:v>
      </x:c>
      <x:c r="B23" s="37" t="str">
        <x:v>CORDIS</x:v>
      </x:c>
      <x:c r="C23" s="37" t="str">
        <x:v>101121129</x:v>
      </x:c>
      <x:c r="D23" s="37" t="str">
        <x:v>SMAUG</x:v>
      </x:c>
      <x:c r="E23" s="37" t="str">
        <x:v>Smart Maritime and Underwater Guardian</x:v>
      </x:c>
      <x:c r="F23" s="37" t="str">
        <x:v>https://cordis.europa.eu/project/id/101121129</x:v>
      </x:c>
      <x:c r="G23" s="37" t="str">
        <x:v>EU Horizon project</x:v>
      </x:c>
      <x:c r="H23" s="37" t="str">
        <x:v>Maritime Security</x:v>
      </x:c>
      <x:c r="I23" s="37" t="str">
        <x:v>Marine Robotics</x:v>
      </x:c>
      <x:c r="J23" s="37" t="str">
        <x:v>autonomous underwater systems; port security; underwater guardian; drones</x:v>
      </x:c>
      <x:c r="K23" s="37" t="str">
        <x:v>EU / multi-country consortium</x:v>
      </x:c>
      <x:c r="L23" s="37" t="str"/>
      <x:c r="M23" s="37" t="str">
        <x:v>SMAUG uses autonomous subsurface drones and devices to enhance port and maritime security.</x:v>
      </x:c>
      <x:c r="N23" s="37" t="str">
        <x:v>Relevant to port security, underwater robotics and maritime situational awareness.</x:v>
      </x:c>
      <x:c r="O23" s="37" t="str">
        <x:v>CORDIS results mention autonomous subsurface drones and devices to enhance port security.</x:v>
      </x:c>
      <x:c r="P23" s="37" t="str">
        <x:v>active_default</x:v>
      </x:c>
      <x:c r="Q23" s="37" t="n">
        <x:v>83</x:v>
      </x:c>
      <x:c r="R23" s="37" t="n">
        <x:v>90</x:v>
      </x:c>
      <x:c r="S23" s="37" t="str">
        <x:v>official_project_page</x:v>
      </x:c>
      <x:c r="T23" s="37" t="str">
        <x:v>active_or_recent</x:v>
      </x:c>
      <x:c r="U23" s="37" t="str">
        <x:v>metadata_plus_search_snippet</x:v>
      </x:c>
      <x:c r="V23" s="37" t="n">
        <x:v>46223.35761105324</x:v>
      </x:c>
      <x:c r="W23" s="34"/>
      <x:c r="X23" s="34"/>
      <x:c r="Y23" s="34"/>
      <x:c r="Z23" s="34"/>
    </x:row>
    <x:row r="24">
      <x:c r="A24" s="37" t="str">
        <x:v>cordis-101296556</x:v>
      </x:c>
      <x:c r="B24" s="37" t="str">
        <x:v>CORDIS</x:v>
      </x:c>
      <x:c r="C24" s="37" t="str">
        <x:v>101296556</x:v>
      </x:c>
      <x:c r="D24" s="37" t="str">
        <x:v>FAVOR</x:v>
      </x:c>
      <x:c r="E24" s="37" t="str">
        <x:v>FAcilitate the development of unmanned Vehicles in the maritime sectOR</x:v>
      </x:c>
      <x:c r="F24" s="37" t="str">
        <x:v>https://cordis.europa.eu/project/id/101296556</x:v>
      </x:c>
      <x:c r="G24" s="37" t="str">
        <x:v>EU Horizon project</x:v>
      </x:c>
      <x:c r="H24" s="37" t="str">
        <x:v>Autonomous Vessels</x:v>
      </x:c>
      <x:c r="I24" s="37" t="str">
        <x:v>Maritime AI / Robotics</x:v>
      </x:c>
      <x:c r="J24" s="37" t="str">
        <x:v>unmanned maritime vehicles; operational efficiency; reducing human error; shipping and ports</x:v>
      </x:c>
      <x:c r="K24" s="37" t="str">
        <x:v>EU / multi-country consortium</x:v>
      </x:c>
      <x:c r="L24" s="37" t="str"/>
      <x:c r="M24" s="37" t="str">
        <x:v>FAVOR supports development of maritime unmanned vehicles, responding to human error and operational efficiency challenges in shipping and ports.</x:v>
      </x:c>
      <x:c r="N24" s="37" t="str">
        <x:v>Very relevant to unmanned maritime vehicles; likely useful for autonomous-vessel map layer.</x:v>
      </x:c>
      <x:c r="O24" s="37" t="str">
        <x:v>CORDIS notes maritime unmanned vehicles as a solution for reducing human error and enhancing operational efficiency.</x:v>
      </x:c>
      <x:c r="P24" s="37" t="str">
        <x:v>latest</x:v>
      </x:c>
      <x:c r="Q24" s="37" t="n">
        <x:v>87</x:v>
      </x:c>
      <x:c r="R24" s="37" t="n">
        <x:v>92</x:v>
      </x:c>
      <x:c r="S24" s="37" t="str">
        <x:v>official_project_page</x:v>
      </x:c>
      <x:c r="T24" s="37" t="str">
        <x:v>active_or_recent</x:v>
      </x:c>
      <x:c r="U24" s="37" t="str">
        <x:v>metadata_plus_search_snippet</x:v>
      </x:c>
      <x:c r="V24" s="37" t="n">
        <x:v>46223.35761105324</x:v>
      </x:c>
      <x:c r="W24" s="34"/>
      <x:c r="X24" s="34"/>
      <x:c r="Y24" s="34"/>
      <x:c r="Z24" s="34"/>
    </x:row>
    <x:row r="25">
      <x:c r="A25" s="37" t="str">
        <x:v>cordis-101096224</x:v>
      </x:c>
      <x:c r="B25" s="37" t="str">
        <x:v>CORDIS</x:v>
      </x:c>
      <x:c r="C25" s="37" t="str">
        <x:v>101096224</x:v>
      </x:c>
      <x:c r="D25" s="37" t="str">
        <x:v>SEUS</x:v>
      </x:c>
      <x:c r="E25" s="37" t="str">
        <x:v>SMART EUROPEAN SHIPBUILDING</x:v>
      </x:c>
      <x:c r="F25" s="37" t="str">
        <x:v>https://cordis.europa.eu/project/id/101096224</x:v>
      </x:c>
      <x:c r="G25" s="37" t="str">
        <x:v>EU Horizon project</x:v>
      </x:c>
      <x:c r="H25" s="37" t="str">
        <x:v>Ship Design and Engineering</x:v>
      </x:c>
      <x:c r="I25" s="37" t="str">
        <x:v>Digital Shipbuilding</x:v>
      </x:c>
      <x:c r="J25" s="37" t="str">
        <x:v>smart shipbuilding; digital framework; European shipyards; competitiveness</x:v>
      </x:c>
      <x:c r="K25" s="37" t="str">
        <x:v>EU / multi-country consortium</x:v>
      </x:c>
      <x:c r="L25" s="37" t="str"/>
      <x:c r="M25" s="37" t="str">
        <x:v>SEUS works on a digital framework to improve efficiency and competitiveness of European shipyards.</x:v>
      </x:c>
      <x:c r="N25" s="37" t="str">
        <x:v>Useful shipbuilding digitalisation record with industry relevance.</x:v>
      </x:c>
      <x:c r="O25" s="37" t="str">
        <x:v>CORDIS describes SEUS as establishing a digital framework for European shipyards.</x:v>
      </x:c>
      <x:c r="P25" s="37" t="str">
        <x:v>active_default</x:v>
      </x:c>
      <x:c r="Q25" s="37" t="n">
        <x:v>82</x:v>
      </x:c>
      <x:c r="R25" s="37" t="n">
        <x:v>88</x:v>
      </x:c>
      <x:c r="S25" s="37" t="str">
        <x:v>official_project_page</x:v>
      </x:c>
      <x:c r="T25" s="37" t="str">
        <x:v>has_project_or_funding_link</x:v>
      </x:c>
      <x:c r="U25" s="37" t="str">
        <x:v>metadata_plus_search_snippet</x:v>
      </x:c>
      <x:c r="V25" s="37" t="n">
        <x:v>46223.35761105324</x:v>
      </x:c>
      <x:c r="W25" s="34"/>
      <x:c r="X25" s="34"/>
      <x:c r="Y25" s="34"/>
      <x:c r="Z25" s="34"/>
    </x:row>
    <x:row r="26">
      <x:c r="A26" s="37" t="str">
        <x:v>cordis-101272708</x:v>
      </x:c>
      <x:c r="B26" s="37" t="str">
        <x:v>CORDIS</x:v>
      </x:c>
      <x:c r="C26" s="37" t="str">
        <x:v>101272708</x:v>
      </x:c>
      <x:c r="D26" s="37" t="str">
        <x:v>SET-SAILS</x:v>
      </x:c>
      <x:c r="E26" s="37" t="str">
        <x:v>Sustainable Energy Transition in Shipping through Agreements, Industrial Leadership and Subsidies</x:v>
      </x:c>
      <x:c r="F26" s="37" t="str">
        <x:v>https://cordis.europa.eu/project/id/101272708</x:v>
      </x:c>
      <x:c r="G26" s="37" t="str">
        <x:v>EU Horizon project</x:v>
      </x:c>
      <x:c r="H26" s="37" t="str">
        <x:v>Green Shipping</x:v>
      </x:c>
      <x:c r="I26" s="37" t="str">
        <x:v>Alternative Fuels</x:v>
      </x:c>
      <x:c r="J26" s="37" t="str">
        <x:v>alternative maritime fuel; industrial policy; market uptake; subsidies; shipping transition</x:v>
      </x:c>
      <x:c r="K26" s="37" t="str">
        <x:v>EU / policy-focused research</x:v>
      </x:c>
      <x:c r="L26" s="37" t="str"/>
      <x:c r="M26" s="37" t="str">
        <x:v>SET-SAILS studies how competition and industrial policy can support market uptake of future-proof alternative maritime fuel.</x:v>
      </x:c>
      <x:c r="N26" s="37" t="str">
        <x:v>Good policy/market uptake record, but less technology-demonstration oriented.</x:v>
      </x:c>
      <x:c r="O26" s="37" t="str">
        <x:v>CORDIS describes the project as exploring market uptake of a future-proof alternative maritime fuel.</x:v>
      </x:c>
      <x:c r="P26" s="37" t="str">
        <x:v>latest</x:v>
      </x:c>
      <x:c r="Q26" s="37" t="n">
        <x:v>72</x:v>
      </x:c>
      <x:c r="R26" s="37" t="n">
        <x:v>84</x:v>
      </x:c>
      <x:c r="S26" s="37" t="str">
        <x:v>official_project_page</x:v>
      </x:c>
      <x:c r="T26" s="37" t="str">
        <x:v>active_or_recent</x:v>
      </x:c>
      <x:c r="U26" s="37" t="str">
        <x:v>metadata_plus_search_snippet</x:v>
      </x:c>
      <x:c r="V26" s="37" t="n">
        <x:v>46223.35761105324</x:v>
      </x:c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</x:sheetData>
  <x:pageMargins left="0.7" right="0.7" top="0.75" bottom="0.75" header="0.3" footer="0.3"/>
  <x:tableParts count="1">
    <x:tablePart xmlns:r="http://schemas.openxmlformats.org/officeDocument/2006/relationships" r:id="R028ffefb62d84c13"/>
  </x:tableParts>
</x:worksheet>
</file>

<file path=xl/worksheets/sheet3.xml><?xml version="1.0" encoding="utf-8"?>
<x:worksheet xmlns:x="http://schemas.openxmlformats.org/spreadsheetml/2006/main">
  <x:sheetFormatPr defaultRowHeight="15"/>
  <x:sheetData>
    <x:row r="1" ht="28" customHeight="1">
      <x:c r="A1" s="33" t="str">
        <x:v>Extraction Summary</x:v>
      </x:c>
      <x:c r="B1" s="33"/>
      <x:c r="C1" s="33"/>
      <x:c r="D1" s="33"/>
      <x:c r="E1" s="33"/>
      <x:c r="F1" s="33"/>
      <x:c r="G1" s="33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32" customHeight="1">
      <x:c r="A2" s="35" t="str">
        <x:v>Quick counts from the first direct extracted dataset.</x:v>
      </x:c>
      <x:c r="B2" s="35"/>
      <x:c r="C2" s="35"/>
      <x:c r="D2" s="35"/>
      <x:c r="E2" s="35"/>
      <x:c r="F2" s="35"/>
      <x:c r="G2" s="35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6" t="str">
        <x:v>Metric</x:v>
      </x:c>
      <x:c r="B4" s="36" t="str">
        <x:v>Value</x:v>
      </x:c>
      <x:c r="C4" s="36" t="str">
        <x:v>Notes</x:v>
      </x:c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4" t="str">
        <x:v>Total records</x:v>
      </x:c>
      <x:c r="B5" s="34" t="n">
        <x:v>25</x:v>
      </x:c>
      <x:c r="C5" s="34" t="str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4" t="str">
        <x:v>Official project pages</x:v>
      </x:c>
      <x:c r="B6" s="34" t="n">
        <x:v>25</x:v>
      </x:c>
      <x:c r="C6" s="34" t="str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 t="str">
        <x:v>High actionability ≥90</x:v>
      </x:c>
      <x:c r="B7" s="34" t="n">
        <x:v>10</x:v>
      </x:c>
      <x:c r="C7" s="34" t="str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 t="str">
        <x:v>Latest category</x:v>
      </x:c>
      <x:c r="B8" s="34" t="n">
        <x:v>8</x:v>
      </x:c>
      <x:c r="C8" s="34" t="str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 t="str">
        <x:v>Active/default category</x:v>
      </x:c>
      <x:c r="B9" s="34" t="n">
        <x:v>16</x:v>
      </x:c>
      <x:c r="C9" s="34" t="str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 t="str">
        <x:v>Archive/background category</x:v>
      </x:c>
      <x:c r="B10" s="34" t="n">
        <x:v>1</x:v>
      </x:c>
      <x:c r="C10" s="34" t="str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6" t="str">
        <x:v>Topic</x:v>
      </x:c>
      <x:c r="B13" s="36" t="str">
        <x:v>Record Count</x:v>
      </x:c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 t="str">
        <x:v>Alternative Fuels</x:v>
      </x:c>
      <x:c r="B14" s="34" t="n">
        <x:v>7</x:v>
      </x:c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 t="str">
        <x:v>Autonomous Vessels</x:v>
      </x:c>
      <x:c r="B15" s="34" t="n">
        <x:v>5</x:v>
      </x:c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 t="str">
        <x:v>Smart Ports</x:v>
      </x:c>
      <x:c r="B16" s="34" t="n">
        <x:v>4</x:v>
      </x:c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 t="str">
        <x:v>Green Shipping</x:v>
      </x:c>
      <x:c r="B17" s="34" t="n">
        <x:v>4</x:v>
      </x:c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 t="str">
        <x:v>Maritime Cybersecurity</x:v>
      </x:c>
      <x:c r="B18" s="34" t="n">
        <x:v>1</x:v>
      </x:c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 t="str">
        <x:v>Maritime AI</x:v>
      </x:c>
      <x:c r="B19" s="34" t="n">
        <x:v>1</x:v>
      </x:c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 t="str">
        <x:v>Marine Robotics</x:v>
      </x:c>
      <x:c r="B20" s="34" t="n">
        <x:v>1</x:v>
      </x:c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 t="str">
        <x:v>Maritime Security</x:v>
      </x:c>
      <x:c r="B21" s="34" t="n">
        <x:v>1</x:v>
      </x:c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 t="str">
        <x:v>Ship Design and Engineering</x:v>
      </x:c>
      <x:c r="B22" s="34" t="n">
        <x:v>1</x:v>
      </x:c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793076fe310b488e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43" t="str">
        <x:v>Schema Notes</x:v>
      </x:c>
      <x:c r="B1" s="43"/>
      <x:c r="C1" s="43"/>
      <x:c r="D1" s="43"/>
      <x:c r="E1" s="43"/>
      <x:c r="F1" s="33"/>
      <x:c r="G1" s="33"/>
      <x:c r="H1" s="33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 ht="32" customHeight="1">
      <x:c r="A2" s="35" t="str">
        <x:v>Meaning of the most important fields for app/script ingestion.</x:v>
      </x:c>
      <x:c r="B2" s="35"/>
      <x:c r="C2" s="35"/>
      <x:c r="D2" s="35"/>
      <x:c r="E2" s="35"/>
      <x:c r="F2" s="35"/>
      <x:c r="G2" s="35"/>
      <x:c r="H2" s="35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6" t="str">
        <x:v>Field</x:v>
      </x:c>
      <x:c r="B4" s="36" t="str">
        <x:v>Meaning</x:v>
      </x:c>
      <x:c r="C4" s="36" t="str">
        <x:v>Frontend Use</x:v>
      </x:c>
      <x:c r="D4" s="36" t="str">
        <x:v>Script Use</x:v>
      </x:c>
      <x:c r="E4" s="36" t="str">
        <x:v>Notes</x:v>
      </x:c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4" t="str">
        <x:v>record_id</x:v>
      </x:c>
      <x:c r="B5" s="34" t="str">
        <x:v>Stable source-derived ID</x:v>
      </x:c>
      <x:c r="C5" s="34" t="str">
        <x:v>Project detail key</x:v>
      </x:c>
      <x:c r="D5" s="34" t="str">
        <x:v>De-duplication</x:v>
      </x:c>
      <x:c r="E5" s="34" t="str">
        <x:v>Example: cordis-101138620</x:v>
      </x:c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4" t="str">
        <x:v>topic_primary</x:v>
      </x:c>
      <x:c r="B6" s="34" t="str">
        <x:v>Main app topic classification</x:v>
      </x:c>
      <x:c r="C6" s="34" t="str">
        <x:v>Map filters / panel topic chips</x:v>
      </x:c>
      <x:c r="D6" s="34" t="str">
        <x:v>Topic aggregation</x:v>
      </x:c>
      <x:c r="E6" s="34" t="str">
        <x:v>Heuristic classification from project title/summary</x:v>
      </x:c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 t="str">
        <x:v>recency_category</x:v>
      </x:c>
      <x:c r="B7" s="34" t="str">
        <x:v>latest / active_default / archive_background</x:v>
      </x:c>
      <x:c r="C7" s="34" t="str">
        <x:v>Default sorting and date filters</x:v>
      </x:c>
      <x:c r="D7" s="34" t="str">
        <x:v>Date strategy</x:v>
      </x:c>
      <x:c r="E7" s="34" t="str">
        <x:v>This first batch uses observed/project context; later scripts should use actual start/end dates</x:v>
      </x:c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 t="str">
        <x:v>actionability_score</x:v>
      </x:c>
      <x:c r="B8" s="34" t="str">
        <x:v>Practical usefulness score</x:v>
      </x:c>
      <x:c r="C8" s="34" t="str">
        <x:v>Sort records by usefulness</x:v>
      </x:c>
      <x:c r="D8" s="34" t="str">
        <x:v>Quality ranking</x:v>
      </x:c>
      <x:c r="E8" s="34" t="str">
        <x:v>High if demo/pilot/technology/funding/consortium signals exist</x:v>
      </x:c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 t="str">
        <x:v>data_status</x:v>
      </x:c>
      <x:c r="B9" s="34" t="str">
        <x:v>How much was extracted</x:v>
      </x:c>
      <x:c r="C9" s="34" t="str">
        <x:v>Data quality label</x:v>
      </x:c>
      <x:c r="D9" s="34" t="str">
        <x:v>Verification</x:v>
      </x:c>
      <x:c r="E9" s="34" t="str">
        <x:v>Official opened pages are stronger than search-snippet-only records</x:v>
      </x:c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 t="str">
        <x:v>source_url</x:v>
      </x:c>
      <x:c r="B10" s="34" t="str">
        <x:v>Official CORDIS project URL</x:v>
      </x:c>
      <x:c r="C10" s="34" t="str">
        <x:v>Clickable source link</x:v>
      </x:c>
      <x:c r="D10" s="34" t="str">
        <x:v>Traceability</x:v>
      </x:c>
      <x:c r="E10" s="34" t="str">
        <x:v>Every row has one</x:v>
      </x:c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</x:sheetData>
  <x:mergeCells>
    <x:mergeCell ref="A1:H1"/>
    <x:mergeCell ref="A2:H2"/>
  </x:mergeCells>
  <x:pageMargins left="0.7" right="0.7" top="0.75" bottom="0.75" header="0.3" footer="0.3"/>
</x:worksheet>
</file>